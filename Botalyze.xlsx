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 firstSheet="1" activeTab="5"/>
  </bookViews>
  <sheets>
    <sheet name="Client's Data" sheetId="1" r:id="rId1"/>
    <sheet name="Conversion Rate" sheetId="7" r:id="rId2"/>
    <sheet name="AI impact" sheetId="2" r:id="rId3"/>
    <sheet name="Plans" sheetId="3" r:id="rId4"/>
    <sheet name="Monthly Cost" sheetId="4" r:id="rId5"/>
    <sheet name="Unit Economics" sheetId="5" r:id="rId6"/>
    <sheet name="12 month growth projection" sheetId="6" r:id="rId7"/>
  </sheets>
  <calcPr calcId="152511"/>
  <pivotCaches>
    <pivotCache cacheId="0" r:id="rId8"/>
    <pivotCache cacheId="1" r:id="rId9"/>
    <pivotCache cacheId="2" r:id="rId10"/>
    <pivotCache cacheId="4" r:id="rId11"/>
  </pivotCaches>
</workbook>
</file>

<file path=xl/calcChain.xml><?xml version="1.0" encoding="utf-8"?>
<calcChain xmlns="http://schemas.openxmlformats.org/spreadsheetml/2006/main">
  <c r="F4" i="3" l="1"/>
  <c r="F3" i="3"/>
  <c r="F2" i="3"/>
  <c r="E3" i="5" l="1"/>
  <c r="E4" i="5"/>
  <c r="E2" i="5"/>
  <c r="D3" i="5"/>
  <c r="D4" i="5"/>
  <c r="D2" i="5"/>
  <c r="E3" i="6" l="1"/>
  <c r="E4" i="6"/>
  <c r="E5" i="6"/>
  <c r="E6" i="6"/>
  <c r="E7" i="6"/>
  <c r="E8" i="6"/>
  <c r="E9" i="6"/>
  <c r="E10" i="6"/>
  <c r="E11" i="6"/>
  <c r="E12" i="6"/>
  <c r="E13" i="6"/>
  <c r="E2" i="6"/>
  <c r="C9" i="4"/>
</calcChain>
</file>

<file path=xl/sharedStrings.xml><?xml version="1.0" encoding="utf-8"?>
<sst xmlns="http://schemas.openxmlformats.org/spreadsheetml/2006/main" count="125" uniqueCount="66">
  <si>
    <t>client_id</t>
  </si>
  <si>
    <t>business_type</t>
  </si>
  <si>
    <t>size</t>
  </si>
  <si>
    <t>avg_daily_calls</t>
  </si>
  <si>
    <t>calls_missed_before_ai_%</t>
  </si>
  <si>
    <t>conversion_rate_before_ai_%</t>
  </si>
  <si>
    <t>C001</t>
  </si>
  <si>
    <t>Restaurant</t>
  </si>
  <si>
    <t>Small</t>
  </si>
  <si>
    <t>C002</t>
  </si>
  <si>
    <t>Medium</t>
  </si>
  <si>
    <t>C003</t>
  </si>
  <si>
    <t>Large</t>
  </si>
  <si>
    <t>C004</t>
  </si>
  <si>
    <t>Hotel</t>
  </si>
  <si>
    <t>Boutique</t>
  </si>
  <si>
    <t>C005</t>
  </si>
  <si>
    <t>Midscale</t>
  </si>
  <si>
    <t>C006</t>
  </si>
  <si>
    <t>C007</t>
  </si>
  <si>
    <t>C008</t>
  </si>
  <si>
    <t>C009</t>
  </si>
  <si>
    <t>C010</t>
  </si>
  <si>
    <t>ai_call_pickup_rate_%</t>
  </si>
  <si>
    <t>conversion_rate_after_ai_%</t>
  </si>
  <si>
    <t>increase_in_bookings_%</t>
  </si>
  <si>
    <t>plan_name</t>
  </si>
  <si>
    <t>target_segment</t>
  </si>
  <si>
    <t>monthly_price_usd</t>
  </si>
  <si>
    <t>max_calls_per_month</t>
  </si>
  <si>
    <t>avg_number_of_clients</t>
  </si>
  <si>
    <t>Starter</t>
  </si>
  <si>
    <t>Small Restaurants</t>
  </si>
  <si>
    <t>Growth</t>
  </si>
  <si>
    <t>Busy Restaurants &amp; Boutique Hotels</t>
  </si>
  <si>
    <t>Enterprise</t>
  </si>
  <si>
    <t>Hotel Groups</t>
  </si>
  <si>
    <t>Unlimited</t>
  </si>
  <si>
    <t>cost_item</t>
  </si>
  <si>
    <t>cost_type</t>
  </si>
  <si>
    <t>monthly_cost_usd</t>
  </si>
  <si>
    <t>AI_API_Usage</t>
  </si>
  <si>
    <t>Variable</t>
  </si>
  <si>
    <t>Telephony_VoIP</t>
  </si>
  <si>
    <t>Cloud_Hosting</t>
  </si>
  <si>
    <t>Fixed</t>
  </si>
  <si>
    <t>Engineering_Salaries</t>
  </si>
  <si>
    <t>Sales_Marketing</t>
  </si>
  <si>
    <t>Customer_Support</t>
  </si>
  <si>
    <t>Miscellaneous</t>
  </si>
  <si>
    <t>avg_monthly_revenue_per_client_usd</t>
  </si>
  <si>
    <t>avg_monthly_cost_per_client_usd</t>
  </si>
  <si>
    <t>month</t>
  </si>
  <si>
    <t>total_clients</t>
  </si>
  <si>
    <t>monthly_revenue_usd</t>
  </si>
  <si>
    <t>profit_usd</t>
  </si>
  <si>
    <t>Row Labels</t>
  </si>
  <si>
    <t>Grand Total</t>
  </si>
  <si>
    <t>Average of conversion_rate_before_ai_%</t>
  </si>
  <si>
    <t>Average of ai_call_pickup_rate_%</t>
  </si>
  <si>
    <t>Sum of profit_usd</t>
  </si>
  <si>
    <t>Average of conversion_rate_after_ai_%</t>
  </si>
  <si>
    <t>Sum of conversion_rate_after_ai_%</t>
  </si>
  <si>
    <t>Profit_in_USD</t>
  </si>
  <si>
    <t>Profit_margin_%</t>
  </si>
  <si>
    <t>Income_by_packages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</si>
</sst>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[New Microsoft Excel Worksheet.xlsx]Client's 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Pickup rate before AI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'Client''s Data'!$E$14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'Client''s Data'!$D$15:$D$23</c:f>
              <c:multiLvlStrCache>
                <c:ptCount val="6"/>
                <c:lvl>
                  <c:pt idx="0">
                    <c:v>Boutique</c:v>
                  </c:pt>
                  <c:pt idx="1">
                    <c:v>Large</c:v>
                  </c:pt>
                  <c:pt idx="2">
                    <c:v>Midscale</c:v>
                  </c:pt>
                  <c:pt idx="3">
                    <c:v>Large</c:v>
                  </c:pt>
                  <c:pt idx="4">
                    <c:v>Medium</c:v>
                  </c:pt>
                  <c:pt idx="5">
                    <c:v>Small</c:v>
                  </c:pt>
                </c:lvl>
                <c:lvl>
                  <c:pt idx="0">
                    <c:v>Hotel</c:v>
                  </c:pt>
                  <c:pt idx="3">
                    <c:v>Restaurant</c:v>
                  </c:pt>
                </c:lvl>
              </c:multiLvlStrCache>
            </c:multiLvlStrRef>
          </c:cat>
          <c:val>
            <c:numRef>
              <c:f>'Client''s Data'!$E$15:$E$23</c:f>
              <c:numCache>
                <c:formatCode>General</c:formatCode>
                <c:ptCount val="6"/>
                <c:pt idx="0">
                  <c:v>23.5</c:v>
                </c:pt>
                <c:pt idx="1">
                  <c:v>28</c:v>
                </c:pt>
                <c:pt idx="2">
                  <c:v>26.5</c:v>
                </c:pt>
                <c:pt idx="3">
                  <c:v>22</c:v>
                </c:pt>
                <c:pt idx="4">
                  <c:v>20.5</c:v>
                </c:pt>
                <c:pt idx="5">
                  <c:v>17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8887232"/>
        <c:axId val="198887624"/>
      </c:barChart>
      <c:catAx>
        <c:axId val="19888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87624"/>
        <c:crosses val="autoZero"/>
        <c:auto val="1"/>
        <c:lblAlgn val="ctr"/>
        <c:lblOffset val="100"/>
        <c:noMultiLvlLbl val="0"/>
      </c:catAx>
      <c:valAx>
        <c:axId val="1988876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888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[New Microsoft Excel Worksheet.xlsx]Conversion Rate!PivotTable4</c:name>
    <c:fmtId val="0"/>
  </c:pivotSource>
  <c:chart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'Conversion Rate'!$A$13</c:f>
              <c:strCache>
                <c:ptCount val="1"/>
                <c:pt idx="0">
                  <c:v>Average of conversion_rate_before_ai_%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'Conversion Rate'!$A$14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'Conversion Rate'!$A$14</c:f>
              <c:numCache>
                <c:formatCode>General</c:formatCode>
                <c:ptCount val="1"/>
                <c:pt idx="0">
                  <c:v>22.5</c:v>
                </c:pt>
              </c:numCache>
            </c:numRef>
          </c:val>
        </c:ser>
        <c:ser>
          <c:idx val="1"/>
          <c:order val="1"/>
          <c:tx>
            <c:strRef>
              <c:f>'Conversion Rate'!$B$13</c:f>
              <c:strCache>
                <c:ptCount val="1"/>
                <c:pt idx="0">
                  <c:v>Average of conversion_rate_after_ai_%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'Conversion Rate'!$A$14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'Conversion Rate'!$B$14</c:f>
              <c:numCache>
                <c:formatCode>General</c:formatCode>
                <c:ptCount val="1"/>
                <c:pt idx="0">
                  <c:v>30.1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8885272"/>
        <c:axId val="408882136"/>
      </c:barChart>
      <c:catAx>
        <c:axId val="198885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882136"/>
        <c:crosses val="autoZero"/>
        <c:auto val="1"/>
        <c:lblAlgn val="ctr"/>
        <c:lblOffset val="100"/>
        <c:noMultiLvlLbl val="0"/>
      </c:catAx>
      <c:valAx>
        <c:axId val="4088821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888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[New Microsoft Excel Worksheet.xlsx]AI impact!PivotTable2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Pickup rate after AI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dk1">
                <a:tint val="55000"/>
              </a:schemeClr>
            </a:solidFill>
            <a:ln w="9525">
              <a:solidFill>
                <a:schemeClr val="dk1">
                  <a:tint val="55000"/>
                </a:schemeClr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'AI impact'!$B$15</c:f>
              <c:strCache>
                <c:ptCount val="1"/>
                <c:pt idx="0">
                  <c:v>Average of ai_call_pickup_rate_%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'AI impact'!$A$16:$A$26</c:f>
              <c:strCache>
                <c:ptCount val="10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  <c:pt idx="6">
                  <c:v>C007</c:v>
                </c:pt>
                <c:pt idx="7">
                  <c:v>C008</c:v>
                </c:pt>
                <c:pt idx="8">
                  <c:v>C009</c:v>
                </c:pt>
                <c:pt idx="9">
                  <c:v>C010</c:v>
                </c:pt>
              </c:strCache>
            </c:strRef>
          </c:cat>
          <c:val>
            <c:numRef>
              <c:f>'AI impact'!$B$16:$B$26</c:f>
              <c:numCache>
                <c:formatCode>General</c:formatCode>
                <c:ptCount val="10"/>
                <c:pt idx="0">
                  <c:v>95</c:v>
                </c:pt>
                <c:pt idx="1">
                  <c:v>96</c:v>
                </c:pt>
                <c:pt idx="2">
                  <c:v>97</c:v>
                </c:pt>
                <c:pt idx="3">
                  <c:v>96</c:v>
                </c:pt>
                <c:pt idx="4">
                  <c:v>97</c:v>
                </c:pt>
                <c:pt idx="5">
                  <c:v>98</c:v>
                </c:pt>
                <c:pt idx="6">
                  <c:v>94</c:v>
                </c:pt>
                <c:pt idx="7">
                  <c:v>95</c:v>
                </c:pt>
                <c:pt idx="8">
                  <c:v>96</c:v>
                </c:pt>
                <c:pt idx="9">
                  <c:v>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'AI impact'!$C$15</c:f>
              <c:strCache>
                <c:ptCount val="1"/>
                <c:pt idx="0">
                  <c:v>Sum of conversion_rate_after_ai_%</c:v>
                </c:pt>
              </c:strCache>
            </c:strRef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55000"/>
                </a:schemeClr>
              </a:solidFill>
              <a:ln w="9525">
                <a:solidFill>
                  <a:schemeClr val="dk1">
                    <a:tint val="5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'AI impact'!$A$16:$A$26</c:f>
              <c:strCache>
                <c:ptCount val="10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  <c:pt idx="6">
                  <c:v>C007</c:v>
                </c:pt>
                <c:pt idx="7">
                  <c:v>C008</c:v>
                </c:pt>
                <c:pt idx="8">
                  <c:v>C009</c:v>
                </c:pt>
                <c:pt idx="9">
                  <c:v>C010</c:v>
                </c:pt>
              </c:strCache>
            </c:strRef>
          </c:cat>
          <c:val>
            <c:numRef>
              <c:f>'AI impact'!$C$16:$C$26</c:f>
              <c:numCache>
                <c:formatCode>General</c:formatCode>
                <c:ptCount val="10"/>
                <c:pt idx="0">
                  <c:v>26</c:v>
                </c:pt>
                <c:pt idx="1">
                  <c:v>28</c:v>
                </c:pt>
                <c:pt idx="2">
                  <c:v>30</c:v>
                </c:pt>
                <c:pt idx="3">
                  <c:v>31</c:v>
                </c:pt>
                <c:pt idx="4">
                  <c:v>33</c:v>
                </c:pt>
                <c:pt idx="5">
                  <c:v>35</c:v>
                </c:pt>
                <c:pt idx="6">
                  <c:v>25</c:v>
                </c:pt>
                <c:pt idx="7">
                  <c:v>30</c:v>
                </c:pt>
                <c:pt idx="8">
                  <c:v>29</c:v>
                </c:pt>
                <c:pt idx="9">
                  <c:v>34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8878608"/>
        <c:axId val="408884488"/>
      </c:lineChart>
      <c:catAx>
        <c:axId val="40887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884488"/>
        <c:crosses val="autoZero"/>
        <c:auto val="1"/>
        <c:lblAlgn val="ctr"/>
        <c:lblOffset val="100"/>
        <c:noMultiLvlLbl val="0"/>
      </c:catAx>
      <c:valAx>
        <c:axId val="408884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87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[New Microsoft Excel Worksheet.xlsx]12 month growth projection!PivotTable3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over months</a:t>
            </a:r>
            <a:endParaRPr lang="en-US"/>
          </a:p>
        </c:rich>
      </c:tx>
      <c:layout>
        <c:manualLayout>
          <c:xMode val="edge"/>
          <c:yMode val="edge"/>
          <c:x val="0.41492810457516338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 month growth projection'!$B$16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'12 month growth projection'!$A$17:$A$29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'12 month growth projection'!$B$17:$B$29</c:f>
              <c:numCache>
                <c:formatCode>General</c:formatCode>
                <c:ptCount val="12"/>
                <c:pt idx="0">
                  <c:v>-2200</c:v>
                </c:pt>
                <c:pt idx="1">
                  <c:v>-1000</c:v>
                </c:pt>
                <c:pt idx="2">
                  <c:v>1300</c:v>
                </c:pt>
                <c:pt idx="3">
                  <c:v>3200</c:v>
                </c:pt>
                <c:pt idx="4">
                  <c:v>5100</c:v>
                </c:pt>
                <c:pt idx="5">
                  <c:v>7600</c:v>
                </c:pt>
                <c:pt idx="6">
                  <c:v>10500</c:v>
                </c:pt>
                <c:pt idx="7">
                  <c:v>13400</c:v>
                </c:pt>
                <c:pt idx="8">
                  <c:v>16300</c:v>
                </c:pt>
                <c:pt idx="9">
                  <c:v>19200</c:v>
                </c:pt>
                <c:pt idx="10">
                  <c:v>22000</c:v>
                </c:pt>
                <c:pt idx="11">
                  <c:v>26000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08878216"/>
        <c:axId val="408879392"/>
      </c:barChart>
      <c:catAx>
        <c:axId val="408878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879392"/>
        <c:crosses val="autoZero"/>
        <c:auto val="1"/>
        <c:lblAlgn val="ctr"/>
        <c:lblOffset val="100"/>
        <c:noMultiLvlLbl val="0"/>
      </c:catAx>
      <c:valAx>
        <c:axId val="408879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0887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883920</xdr:colOff>
      <xdr:row>11</xdr:row>
      <xdr:rowOff>144780</xdr:rowOff>
    </xdr:from>
    <xdr:to>
      <xdr:col>12</xdr:col>
      <xdr:colOff>15240</xdr:colOff>
      <xdr:row>26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605790</xdr:colOff>
      <xdr:row>1</xdr:row>
      <xdr:rowOff>175260</xdr:rowOff>
    </xdr:from>
    <xdr:to>
      <xdr:col>6</xdr:col>
      <xdr:colOff>1192530</xdr:colOff>
      <xdr:row>16</xdr:row>
      <xdr:rowOff>175260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262890</xdr:colOff>
      <xdr:row>12</xdr:row>
      <xdr:rowOff>83820</xdr:rowOff>
    </xdr:from>
    <xdr:to>
      <xdr:col>10</xdr:col>
      <xdr:colOff>209550</xdr:colOff>
      <xdr:row>27</xdr:row>
      <xdr:rowOff>83820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1299210</xdr:colOff>
      <xdr:row>15</xdr:row>
      <xdr:rowOff>15240</xdr:rowOff>
    </xdr:from>
    <xdr:to>
      <xdr:col>10</xdr:col>
      <xdr:colOff>53340</xdr:colOff>
      <xdr:row>30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New%20Microsoft%20Excel%20Workshee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New%20Microsoft%20Excel%20Worksheet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New%20Microsoft%20Excel%20Worksheet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microsoft.com/office/2006/relationships/xlExternalLinkPath/xlPathMissing" Target="New%20Microsoft%20Excel%20Worksheet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20.95455289352" createdVersion="5" refreshedVersion="5" minRefreshableVersion="3" recordCount="10">
  <cacheSource type="worksheet">
    <worksheetSource ref="A1:F11" sheet="Client's Data" r:id="rId2"/>
  </cacheSource>
  <cacheFields count="6">
    <cacheField name="client_id" numFmtId="0">
      <sharedItems/>
    </cacheField>
    <cacheField name="business_type" numFmtId="0">
      <sharedItems count="2">
        <s v="Restaurant"/>
        <s v="Hotel"/>
      </sharedItems>
    </cacheField>
    <cacheField name="size" numFmtId="0">
      <sharedItems count="5">
        <s v="Small"/>
        <s v="Medium"/>
        <s v="Large"/>
        <s v="Boutique"/>
        <s v="Midscale"/>
      </sharedItems>
    </cacheField>
    <cacheField name="avg_daily_calls" numFmtId="0">
      <sharedItems containsSemiMixedTypes="0" containsString="0" containsNumber="1" containsInteger="1" minValue="20" maxValue="300"/>
    </cacheField>
    <cacheField name="calls_missed_before_ai_%" numFmtId="0">
      <sharedItems containsSemiMixedTypes="0" containsString="0" containsNumber="1" containsInteger="1" minValue="20" maxValue="40"/>
    </cacheField>
    <cacheField name="conversion_rate_before_ai_%" numFmtId="0">
      <sharedItems containsSemiMixedTypes="0" containsString="0" containsNumber="1" containsInteger="1" minValue="16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020.956079166666" createdVersion="5" refreshedVersion="5" minRefreshableVersion="3" recordCount="10">
  <cacheSource type="worksheet">
    <worksheetSource ref="A1:D11" sheet="AI impact" r:id="rId2"/>
  </cacheSource>
  <cacheFields count="4">
    <cacheField name="client_id" numFmtId="0">
      <sharedItems count="10">
        <s v="C001"/>
        <s v="C002"/>
        <s v="C003"/>
        <s v="C004"/>
        <s v="C005"/>
        <s v="C006"/>
        <s v="C007"/>
        <s v="C008"/>
        <s v="C009"/>
        <s v="C010"/>
      </sharedItems>
    </cacheField>
    <cacheField name="ai_call_pickup_rate_%" numFmtId="0">
      <sharedItems containsSemiMixedTypes="0" containsString="0" containsNumber="1" containsInteger="1" minValue="94" maxValue="98"/>
    </cacheField>
    <cacheField name="conversion_rate_after_ai_%" numFmtId="0">
      <sharedItems containsSemiMixedTypes="0" containsString="0" containsNumber="1" containsInteger="1" minValue="25" maxValue="35"/>
    </cacheField>
    <cacheField name="increase_in_bookings_%" numFmtId="0">
      <sharedItems containsSemiMixedTypes="0" containsString="0" containsNumber="1" containsInteger="1" minValue="27" maxValue="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thor" refreshedDate="46020.960429513892" createdVersion="5" refreshedVersion="5" minRefreshableVersion="3" recordCount="12">
  <cacheSource type="worksheet">
    <worksheetSource ref="A1:E13" sheet="12 month growth projection" r:id="rId2"/>
  </cacheSource>
  <cacheFields count="5"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otal_clients" numFmtId="0">
      <sharedItems containsSemiMixedTypes="0" containsString="0" containsNumber="1" containsInteger="1" minValue="20" maxValue="220"/>
    </cacheField>
    <cacheField name="monthly_revenue_usd" numFmtId="0">
      <sharedItems containsSemiMixedTypes="0" containsString="0" containsNumber="1" containsInteger="1" minValue="3000" maxValue="37500"/>
    </cacheField>
    <cacheField name="monthly_cost_usd" numFmtId="0">
      <sharedItems containsSemiMixedTypes="0" containsString="0" containsNumber="1" containsInteger="1" minValue="5200" maxValue="11500"/>
    </cacheField>
    <cacheField name="profit_usd" numFmtId="0">
      <sharedItems containsSemiMixedTypes="0" containsString="0" containsNumber="1" containsInteger="1" minValue="-2200" maxValue="2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thor" refreshedDate="46021.419081712964" createdVersion="5" refreshedVersion="5" minRefreshableVersion="3" recordCount="10">
  <cacheSource type="worksheet">
    <worksheetSource ref="A1:B11" sheet="Conversion Rate" r:id="rId2"/>
  </cacheSource>
  <cacheFields count="2">
    <cacheField name="conversion_rate_after_ai_%" numFmtId="0">
      <sharedItems containsSemiMixedTypes="0" containsString="0" containsNumber="1" containsInteger="1" minValue="25" maxValue="35" count="9">
        <n v="26"/>
        <n v="28"/>
        <n v="30"/>
        <n v="31"/>
        <n v="33"/>
        <n v="35"/>
        <n v="25"/>
        <n v="29"/>
        <n v="34"/>
      </sharedItems>
    </cacheField>
    <cacheField name="conversion_rate_before_ai_%" numFmtId="0">
      <sharedItems containsSemiMixedTypes="0" containsString="0" containsNumber="1" containsInteger="1" minValue="16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C001"/>
    <x v="0"/>
    <x v="0"/>
    <n v="25"/>
    <n v="35"/>
    <n v="18"/>
  </r>
  <r>
    <s v="C002"/>
    <x v="0"/>
    <x v="1"/>
    <n v="60"/>
    <n v="30"/>
    <n v="20"/>
  </r>
  <r>
    <s v="C003"/>
    <x v="0"/>
    <x v="2"/>
    <n v="120"/>
    <n v="25"/>
    <n v="22"/>
  </r>
  <r>
    <s v="C004"/>
    <x v="1"/>
    <x v="3"/>
    <n v="90"/>
    <n v="28"/>
    <n v="24"/>
  </r>
  <r>
    <s v="C005"/>
    <x v="1"/>
    <x v="4"/>
    <n v="180"/>
    <n v="22"/>
    <n v="26"/>
  </r>
  <r>
    <s v="C006"/>
    <x v="1"/>
    <x v="2"/>
    <n v="300"/>
    <n v="20"/>
    <n v="28"/>
  </r>
  <r>
    <s v="C007"/>
    <x v="0"/>
    <x v="0"/>
    <n v="20"/>
    <n v="40"/>
    <n v="16"/>
  </r>
  <r>
    <s v="C008"/>
    <x v="1"/>
    <x v="3"/>
    <n v="75"/>
    <n v="32"/>
    <n v="23"/>
  </r>
  <r>
    <s v="C009"/>
    <x v="0"/>
    <x v="1"/>
    <n v="55"/>
    <n v="30"/>
    <n v="21"/>
  </r>
  <r>
    <s v="C010"/>
    <x v="1"/>
    <x v="4"/>
    <n v="200"/>
    <n v="24"/>
    <n v="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x v="0"/>
    <n v="95"/>
    <n v="26"/>
    <n v="32"/>
  </r>
  <r>
    <x v="1"/>
    <n v="96"/>
    <n v="28"/>
    <n v="30"/>
  </r>
  <r>
    <x v="2"/>
    <n v="97"/>
    <n v="30"/>
    <n v="27"/>
  </r>
  <r>
    <x v="3"/>
    <n v="96"/>
    <n v="31"/>
    <n v="29"/>
  </r>
  <r>
    <x v="4"/>
    <n v="97"/>
    <n v="33"/>
    <n v="31"/>
  </r>
  <r>
    <x v="5"/>
    <n v="98"/>
    <n v="35"/>
    <n v="34"/>
  </r>
  <r>
    <x v="6"/>
    <n v="94"/>
    <n v="25"/>
    <n v="35"/>
  </r>
  <r>
    <x v="7"/>
    <n v="95"/>
    <n v="30"/>
    <n v="28"/>
  </r>
  <r>
    <x v="8"/>
    <n v="96"/>
    <n v="29"/>
    <n v="31"/>
  </r>
  <r>
    <x v="9"/>
    <n v="97"/>
    <n v="34"/>
    <n v="3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">
  <r>
    <x v="0"/>
    <n v="20"/>
    <n v="3000"/>
    <n v="5200"/>
    <n v="-2200"/>
  </r>
  <r>
    <x v="1"/>
    <n v="30"/>
    <n v="4500"/>
    <n v="5500"/>
    <n v="-1000"/>
  </r>
  <r>
    <x v="2"/>
    <n v="45"/>
    <n v="7200"/>
    <n v="5900"/>
    <n v="1300"/>
  </r>
  <r>
    <x v="3"/>
    <n v="60"/>
    <n v="9600"/>
    <n v="6400"/>
    <n v="3200"/>
  </r>
  <r>
    <x v="4"/>
    <n v="75"/>
    <n v="12000"/>
    <n v="6900"/>
    <n v="5100"/>
  </r>
  <r>
    <x v="5"/>
    <n v="90"/>
    <n v="15000"/>
    <n v="7400"/>
    <n v="7600"/>
  </r>
  <r>
    <x v="6"/>
    <n v="110"/>
    <n v="18500"/>
    <n v="8000"/>
    <n v="10500"/>
  </r>
  <r>
    <x v="7"/>
    <n v="130"/>
    <n v="22000"/>
    <n v="8600"/>
    <n v="13400"/>
  </r>
  <r>
    <x v="8"/>
    <n v="150"/>
    <n v="25500"/>
    <n v="9200"/>
    <n v="16300"/>
  </r>
  <r>
    <x v="9"/>
    <n v="170"/>
    <n v="29000"/>
    <n v="9800"/>
    <n v="19200"/>
  </r>
  <r>
    <x v="10"/>
    <n v="190"/>
    <n v="32500"/>
    <n v="10500"/>
    <n v="22000"/>
  </r>
  <r>
    <x v="11"/>
    <n v="220"/>
    <n v="37500"/>
    <n v="11500"/>
    <n v="26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">
  <r>
    <x v="0"/>
    <n v="18"/>
  </r>
  <r>
    <x v="1"/>
    <n v="20"/>
  </r>
  <r>
    <x v="2"/>
    <n v="22"/>
  </r>
  <r>
    <x v="3"/>
    <n v="24"/>
  </r>
  <r>
    <x v="4"/>
    <n v="26"/>
  </r>
  <r>
    <x v="5"/>
    <n v="28"/>
  </r>
  <r>
    <x v="6"/>
    <n v="16"/>
  </r>
  <r>
    <x v="2"/>
    <n v="23"/>
  </r>
  <r>
    <x v="7"/>
    <n v="21"/>
  </r>
  <r>
    <x v="8"/>
    <n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D14:E23" firstHeaderRow="1" firstDataRow="1" firstDataCol="1"/>
  <pivotFields count="6">
    <pivotField showAll="0"/>
    <pivotField axis="axisRow" showAll="0">
      <items count="3">
        <item x="1"/>
        <item x="0"/>
        <item t="default"/>
      </items>
    </pivotField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dataField="1" showAll="0"/>
  </pivotFields>
  <rowFields count="2">
    <field x="1"/>
    <field x="2"/>
  </rowFields>
  <rowItems count="9">
    <i>
      <x/>
    </i>
    <i r="1">
      <x/>
    </i>
    <i r="1">
      <x v="1"/>
    </i>
    <i r="1">
      <x v="3"/>
    </i>
    <i>
      <x v="1"/>
    </i>
    <i r="1">
      <x v="1"/>
    </i>
    <i r="1">
      <x v="2"/>
    </i>
    <i r="1">
      <x v="4"/>
    </i>
    <i t="grand">
      <x/>
    </i>
  </rowItems>
  <colItems count="1">
    <i/>
  </colItems>
  <dataFields count="1">
    <dataField name="Average of conversion_rate_before_ai_%" fld="5" subtotal="average" baseField="1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13:B14" firstHeaderRow="0" firstDataRow="1" firstDataCol="0"/>
  <pivotFields count="2">
    <pivotField dataField="1" showAll="0">
      <items count="10">
        <item x="6"/>
        <item x="0"/>
        <item x="1"/>
        <item x="7"/>
        <item x="2"/>
        <item x="3"/>
        <item x="4"/>
        <item x="8"/>
        <item x="5"/>
        <item t="default"/>
      </items>
    </pivotField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conversion_rate_before_ai_%" fld="1" subtotal="average" baseField="0" baseItem="1"/>
    <dataField name="Average of conversion_rate_after_ai_%" fld="0" subtotal="average" baseField="0" baseItem="1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1">
  <location ref="A15:C26" firstHeaderRow="0" firstDataRow="1" firstDataCol="1"/>
  <pivotFields count="4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dataField="1"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i_call_pickup_rate_%" fld="1" subtotal="average" baseField="0" baseItem="0"/>
    <dataField name="Sum of conversion_rate_after_ai_%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16:B29" firstHeaderRow="1" firstDataRow="1" firstDataCol="1"/>
  <pivotFields count="5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_usd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K28" sqref="K28"/>
    </sheetView>
  </sheetViews>
  <sheetFormatPr defaultRowHeight="14.4" x14ac:dyDescent="0.3"/>
  <cols>
    <col min="1" max="1" width="7.88671875" bestFit="1" customWidth="1"/>
    <col min="2" max="2" width="12.33203125" bestFit="1" customWidth="1"/>
    <col min="3" max="3" width="8.33203125" bestFit="1" customWidth="1"/>
    <col min="4" max="4" width="12.5546875" customWidth="1"/>
    <col min="5" max="5" width="28.77734375" customWidth="1"/>
    <col min="6" max="6" width="29.77734375" customWidth="1"/>
    <col min="7" max="7" width="29.77734375" bestFit="1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25</v>
      </c>
      <c r="E2">
        <v>35</v>
      </c>
      <c r="F2">
        <v>18</v>
      </c>
    </row>
    <row r="3" spans="1:6" x14ac:dyDescent="0.3">
      <c r="A3" t="s">
        <v>9</v>
      </c>
      <c r="B3" t="s">
        <v>7</v>
      </c>
      <c r="C3" t="s">
        <v>10</v>
      </c>
      <c r="D3">
        <v>60</v>
      </c>
      <c r="E3">
        <v>30</v>
      </c>
      <c r="F3">
        <v>20</v>
      </c>
    </row>
    <row r="4" spans="1:6" x14ac:dyDescent="0.3">
      <c r="A4" t="s">
        <v>11</v>
      </c>
      <c r="B4" t="s">
        <v>7</v>
      </c>
      <c r="C4" t="s">
        <v>12</v>
      </c>
      <c r="D4">
        <v>120</v>
      </c>
      <c r="E4">
        <v>25</v>
      </c>
      <c r="F4">
        <v>22</v>
      </c>
    </row>
    <row r="5" spans="1:6" x14ac:dyDescent="0.3">
      <c r="A5" t="s">
        <v>13</v>
      </c>
      <c r="B5" t="s">
        <v>14</v>
      </c>
      <c r="C5" t="s">
        <v>15</v>
      </c>
      <c r="D5">
        <v>90</v>
      </c>
      <c r="E5">
        <v>28</v>
      </c>
      <c r="F5">
        <v>24</v>
      </c>
    </row>
    <row r="6" spans="1:6" x14ac:dyDescent="0.3">
      <c r="A6" t="s">
        <v>16</v>
      </c>
      <c r="B6" t="s">
        <v>14</v>
      </c>
      <c r="C6" t="s">
        <v>17</v>
      </c>
      <c r="D6">
        <v>180</v>
      </c>
      <c r="E6">
        <v>22</v>
      </c>
      <c r="F6">
        <v>26</v>
      </c>
    </row>
    <row r="7" spans="1:6" x14ac:dyDescent="0.3">
      <c r="A7" t="s">
        <v>18</v>
      </c>
      <c r="B7" t="s">
        <v>14</v>
      </c>
      <c r="C7" t="s">
        <v>12</v>
      </c>
      <c r="D7">
        <v>300</v>
      </c>
      <c r="E7">
        <v>20</v>
      </c>
      <c r="F7">
        <v>28</v>
      </c>
    </row>
    <row r="8" spans="1:6" x14ac:dyDescent="0.3">
      <c r="A8" t="s">
        <v>19</v>
      </c>
      <c r="B8" t="s">
        <v>7</v>
      </c>
      <c r="C8" t="s">
        <v>8</v>
      </c>
      <c r="D8">
        <v>20</v>
      </c>
      <c r="E8">
        <v>40</v>
      </c>
      <c r="F8">
        <v>16</v>
      </c>
    </row>
    <row r="9" spans="1:6" x14ac:dyDescent="0.3">
      <c r="A9" t="s">
        <v>20</v>
      </c>
      <c r="B9" t="s">
        <v>14</v>
      </c>
      <c r="C9" t="s">
        <v>15</v>
      </c>
      <c r="D9">
        <v>75</v>
      </c>
      <c r="E9">
        <v>32</v>
      </c>
      <c r="F9">
        <v>23</v>
      </c>
    </row>
    <row r="10" spans="1:6" x14ac:dyDescent="0.3">
      <c r="A10" t="s">
        <v>21</v>
      </c>
      <c r="B10" t="s">
        <v>7</v>
      </c>
      <c r="C10" t="s">
        <v>10</v>
      </c>
      <c r="D10">
        <v>55</v>
      </c>
      <c r="E10">
        <v>30</v>
      </c>
      <c r="F10">
        <v>21</v>
      </c>
    </row>
    <row r="11" spans="1:6" x14ac:dyDescent="0.3">
      <c r="A11" t="s">
        <v>22</v>
      </c>
      <c r="B11" t="s">
        <v>14</v>
      </c>
      <c r="C11" t="s">
        <v>17</v>
      </c>
      <c r="D11">
        <v>200</v>
      </c>
      <c r="E11">
        <v>24</v>
      </c>
      <c r="F11">
        <v>27</v>
      </c>
    </row>
    <row r="14" spans="1:6" x14ac:dyDescent="0.3">
      <c r="D14" s="1" t="s">
        <v>56</v>
      </c>
      <c r="E14" t="s">
        <v>58</v>
      </c>
    </row>
    <row r="15" spans="1:6" x14ac:dyDescent="0.3">
      <c r="D15" s="2" t="s">
        <v>14</v>
      </c>
      <c r="E15" s="3">
        <v>25.6</v>
      </c>
    </row>
    <row r="16" spans="1:6" x14ac:dyDescent="0.3">
      <c r="D16" s="4" t="s">
        <v>15</v>
      </c>
      <c r="E16" s="3">
        <v>23.5</v>
      </c>
    </row>
    <row r="17" spans="4:5" x14ac:dyDescent="0.3">
      <c r="D17" s="4" t="s">
        <v>12</v>
      </c>
      <c r="E17" s="3">
        <v>28</v>
      </c>
    </row>
    <row r="18" spans="4:5" x14ac:dyDescent="0.3">
      <c r="D18" s="4" t="s">
        <v>17</v>
      </c>
      <c r="E18" s="3">
        <v>26.5</v>
      </c>
    </row>
    <row r="19" spans="4:5" x14ac:dyDescent="0.3">
      <c r="D19" s="2" t="s">
        <v>7</v>
      </c>
      <c r="E19" s="3">
        <v>19.399999999999999</v>
      </c>
    </row>
    <row r="20" spans="4:5" x14ac:dyDescent="0.3">
      <c r="D20" s="4" t="s">
        <v>12</v>
      </c>
      <c r="E20" s="3">
        <v>22</v>
      </c>
    </row>
    <row r="21" spans="4:5" x14ac:dyDescent="0.3">
      <c r="D21" s="4" t="s">
        <v>10</v>
      </c>
      <c r="E21" s="3">
        <v>20.5</v>
      </c>
    </row>
    <row r="22" spans="4:5" x14ac:dyDescent="0.3">
      <c r="D22" s="4" t="s">
        <v>8</v>
      </c>
      <c r="E22" s="3">
        <v>17</v>
      </c>
    </row>
    <row r="23" spans="4:5" x14ac:dyDescent="0.3">
      <c r="D23" s="2" t="s">
        <v>57</v>
      </c>
      <c r="E23" s="3">
        <v>22.5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8" sqref="A18"/>
    </sheetView>
  </sheetViews>
  <sheetFormatPr defaultRowHeight="14.4" x14ac:dyDescent="0.3"/>
  <cols>
    <col min="1" max="1" width="36.21875" customWidth="1"/>
    <col min="2" max="2" width="34.6640625" customWidth="1"/>
    <col min="6" max="6" width="31.44140625" customWidth="1"/>
    <col min="7" max="7" width="33" customWidth="1"/>
    <col min="8" max="16" width="3" customWidth="1"/>
    <col min="17" max="17" width="10.77734375" bestFit="1" customWidth="1"/>
  </cols>
  <sheetData>
    <row r="1" spans="1:2" x14ac:dyDescent="0.3">
      <c r="A1" s="5" t="s">
        <v>24</v>
      </c>
      <c r="B1" s="5" t="s">
        <v>5</v>
      </c>
    </row>
    <row r="2" spans="1:2" x14ac:dyDescent="0.3">
      <c r="A2">
        <v>26</v>
      </c>
      <c r="B2">
        <v>18</v>
      </c>
    </row>
    <row r="3" spans="1:2" x14ac:dyDescent="0.3">
      <c r="A3">
        <v>28</v>
      </c>
      <c r="B3">
        <v>20</v>
      </c>
    </row>
    <row r="4" spans="1:2" x14ac:dyDescent="0.3">
      <c r="A4">
        <v>30</v>
      </c>
      <c r="B4">
        <v>22</v>
      </c>
    </row>
    <row r="5" spans="1:2" x14ac:dyDescent="0.3">
      <c r="A5">
        <v>31</v>
      </c>
      <c r="B5">
        <v>24</v>
      </c>
    </row>
    <row r="6" spans="1:2" x14ac:dyDescent="0.3">
      <c r="A6">
        <v>33</v>
      </c>
      <c r="B6">
        <v>26</v>
      </c>
    </row>
    <row r="7" spans="1:2" x14ac:dyDescent="0.3">
      <c r="A7">
        <v>35</v>
      </c>
      <c r="B7">
        <v>28</v>
      </c>
    </row>
    <row r="8" spans="1:2" x14ac:dyDescent="0.3">
      <c r="A8">
        <v>25</v>
      </c>
      <c r="B8">
        <v>16</v>
      </c>
    </row>
    <row r="9" spans="1:2" x14ac:dyDescent="0.3">
      <c r="A9">
        <v>30</v>
      </c>
      <c r="B9">
        <v>23</v>
      </c>
    </row>
    <row r="10" spans="1:2" x14ac:dyDescent="0.3">
      <c r="A10">
        <v>29</v>
      </c>
      <c r="B10">
        <v>21</v>
      </c>
    </row>
    <row r="11" spans="1:2" x14ac:dyDescent="0.3">
      <c r="A11">
        <v>34</v>
      </c>
      <c r="B11">
        <v>27</v>
      </c>
    </row>
    <row r="13" spans="1:2" x14ac:dyDescent="0.3">
      <c r="A13" t="s">
        <v>58</v>
      </c>
      <c r="B13" t="s">
        <v>61</v>
      </c>
    </row>
    <row r="14" spans="1:2" x14ac:dyDescent="0.3">
      <c r="A14" s="3">
        <v>22.5</v>
      </c>
      <c r="B14" s="3">
        <v>30.1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opLeftCell="B5" workbookViewId="0">
      <selection activeCell="J9" sqref="J9"/>
    </sheetView>
  </sheetViews>
  <sheetFormatPr defaultRowHeight="14.4" x14ac:dyDescent="0.3"/>
  <cols>
    <col min="1" max="1" width="12.5546875" bestFit="1" customWidth="1"/>
    <col min="2" max="2" width="29.77734375" bestFit="1" customWidth="1"/>
    <col min="3" max="3" width="31.44140625" bestFit="1" customWidth="1"/>
    <col min="4" max="4" width="28.44140625" bestFit="1" customWidth="1"/>
  </cols>
  <sheetData>
    <row r="1" spans="1:4" x14ac:dyDescent="0.3">
      <c r="A1" t="s">
        <v>0</v>
      </c>
      <c r="B1" t="s">
        <v>23</v>
      </c>
      <c r="C1" t="s">
        <v>24</v>
      </c>
      <c r="D1" t="s">
        <v>25</v>
      </c>
    </row>
    <row r="2" spans="1:4" x14ac:dyDescent="0.3">
      <c r="A2" t="s">
        <v>6</v>
      </c>
      <c r="B2">
        <v>95</v>
      </c>
      <c r="C2">
        <v>26</v>
      </c>
      <c r="D2">
        <v>32</v>
      </c>
    </row>
    <row r="3" spans="1:4" x14ac:dyDescent="0.3">
      <c r="A3" t="s">
        <v>9</v>
      </c>
      <c r="B3">
        <v>96</v>
      </c>
      <c r="C3">
        <v>28</v>
      </c>
      <c r="D3">
        <v>30</v>
      </c>
    </row>
    <row r="4" spans="1:4" x14ac:dyDescent="0.3">
      <c r="A4" t="s">
        <v>11</v>
      </c>
      <c r="B4">
        <v>97</v>
      </c>
      <c r="C4">
        <v>30</v>
      </c>
      <c r="D4">
        <v>27</v>
      </c>
    </row>
    <row r="5" spans="1:4" x14ac:dyDescent="0.3">
      <c r="A5" t="s">
        <v>13</v>
      </c>
      <c r="B5">
        <v>96</v>
      </c>
      <c r="C5">
        <v>31</v>
      </c>
      <c r="D5">
        <v>29</v>
      </c>
    </row>
    <row r="6" spans="1:4" x14ac:dyDescent="0.3">
      <c r="A6" t="s">
        <v>16</v>
      </c>
      <c r="B6">
        <v>97</v>
      </c>
      <c r="C6">
        <v>33</v>
      </c>
      <c r="D6">
        <v>31</v>
      </c>
    </row>
    <row r="7" spans="1:4" x14ac:dyDescent="0.3">
      <c r="A7" t="s">
        <v>18</v>
      </c>
      <c r="B7">
        <v>98</v>
      </c>
      <c r="C7">
        <v>35</v>
      </c>
      <c r="D7">
        <v>34</v>
      </c>
    </row>
    <row r="8" spans="1:4" x14ac:dyDescent="0.3">
      <c r="A8" t="s">
        <v>19</v>
      </c>
      <c r="B8">
        <v>94</v>
      </c>
      <c r="C8">
        <v>25</v>
      </c>
      <c r="D8">
        <v>35</v>
      </c>
    </row>
    <row r="9" spans="1:4" x14ac:dyDescent="0.3">
      <c r="A9" t="s">
        <v>20</v>
      </c>
      <c r="B9">
        <v>95</v>
      </c>
      <c r="C9">
        <v>30</v>
      </c>
      <c r="D9">
        <v>28</v>
      </c>
    </row>
    <row r="10" spans="1:4" x14ac:dyDescent="0.3">
      <c r="A10" t="s">
        <v>21</v>
      </c>
      <c r="B10">
        <v>96</v>
      </c>
      <c r="C10">
        <v>29</v>
      </c>
      <c r="D10">
        <v>31</v>
      </c>
    </row>
    <row r="11" spans="1:4" x14ac:dyDescent="0.3">
      <c r="A11" t="s">
        <v>22</v>
      </c>
      <c r="B11">
        <v>97</v>
      </c>
      <c r="C11">
        <v>34</v>
      </c>
      <c r="D11">
        <v>33</v>
      </c>
    </row>
    <row r="15" spans="1:4" x14ac:dyDescent="0.3">
      <c r="A15" s="1" t="s">
        <v>56</v>
      </c>
      <c r="B15" t="s">
        <v>59</v>
      </c>
      <c r="C15" t="s">
        <v>62</v>
      </c>
    </row>
    <row r="16" spans="1:4" x14ac:dyDescent="0.3">
      <c r="A16" s="2" t="s">
        <v>6</v>
      </c>
      <c r="B16" s="3">
        <v>95</v>
      </c>
      <c r="C16" s="3">
        <v>26</v>
      </c>
    </row>
    <row r="17" spans="1:3" x14ac:dyDescent="0.3">
      <c r="A17" s="2" t="s">
        <v>9</v>
      </c>
      <c r="B17" s="3">
        <v>96</v>
      </c>
      <c r="C17" s="3">
        <v>28</v>
      </c>
    </row>
    <row r="18" spans="1:3" x14ac:dyDescent="0.3">
      <c r="A18" s="2" t="s">
        <v>11</v>
      </c>
      <c r="B18" s="3">
        <v>97</v>
      </c>
      <c r="C18" s="3">
        <v>30</v>
      </c>
    </row>
    <row r="19" spans="1:3" x14ac:dyDescent="0.3">
      <c r="A19" s="2" t="s">
        <v>13</v>
      </c>
      <c r="B19" s="3">
        <v>96</v>
      </c>
      <c r="C19" s="3">
        <v>31</v>
      </c>
    </row>
    <row r="20" spans="1:3" x14ac:dyDescent="0.3">
      <c r="A20" s="2" t="s">
        <v>16</v>
      </c>
      <c r="B20" s="3">
        <v>97</v>
      </c>
      <c r="C20" s="3">
        <v>33</v>
      </c>
    </row>
    <row r="21" spans="1:3" x14ac:dyDescent="0.3">
      <c r="A21" s="2" t="s">
        <v>18</v>
      </c>
      <c r="B21" s="3">
        <v>98</v>
      </c>
      <c r="C21" s="3">
        <v>35</v>
      </c>
    </row>
    <row r="22" spans="1:3" x14ac:dyDescent="0.3">
      <c r="A22" s="2" t="s">
        <v>19</v>
      </c>
      <c r="B22" s="3">
        <v>94</v>
      </c>
      <c r="C22" s="3">
        <v>25</v>
      </c>
    </row>
    <row r="23" spans="1:3" x14ac:dyDescent="0.3">
      <c r="A23" s="2" t="s">
        <v>20</v>
      </c>
      <c r="B23" s="3">
        <v>95</v>
      </c>
      <c r="C23" s="3">
        <v>30</v>
      </c>
    </row>
    <row r="24" spans="1:3" x14ac:dyDescent="0.3">
      <c r="A24" s="2" t="s">
        <v>21</v>
      </c>
      <c r="B24" s="3">
        <v>96</v>
      </c>
      <c r="C24" s="3">
        <v>29</v>
      </c>
    </row>
    <row r="25" spans="1:3" x14ac:dyDescent="0.3">
      <c r="A25" s="2" t="s">
        <v>22</v>
      </c>
      <c r="B25" s="3">
        <v>97</v>
      </c>
      <c r="C25" s="3">
        <v>34</v>
      </c>
    </row>
    <row r="26" spans="1:3" x14ac:dyDescent="0.3">
      <c r="A26" s="2" t="s">
        <v>57</v>
      </c>
      <c r="B26" s="3">
        <v>96.1</v>
      </c>
      <c r="C26" s="3">
        <v>301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17" sqref="F17"/>
    </sheetView>
  </sheetViews>
  <sheetFormatPr defaultRowHeight="14.4" x14ac:dyDescent="0.3"/>
  <cols>
    <col min="1" max="1" width="10" bestFit="1" customWidth="1"/>
    <col min="2" max="2" width="30.6640625" bestFit="1" customWidth="1"/>
    <col min="3" max="3" width="16.5546875" bestFit="1" customWidth="1"/>
    <col min="4" max="4" width="19.21875" bestFit="1" customWidth="1"/>
    <col min="5" max="5" width="20.21875" bestFit="1" customWidth="1"/>
    <col min="6" max="6" width="18.6640625" bestFit="1" customWidth="1"/>
  </cols>
  <sheetData>
    <row r="1" spans="1:6" x14ac:dyDescent="0.3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65</v>
      </c>
    </row>
    <row r="2" spans="1:6" x14ac:dyDescent="0.3">
      <c r="A2" t="s">
        <v>31</v>
      </c>
      <c r="B2" t="s">
        <v>32</v>
      </c>
      <c r="C2">
        <v>75</v>
      </c>
      <c r="D2">
        <v>1000</v>
      </c>
      <c r="E2">
        <v>40</v>
      </c>
      <c r="F2">
        <f>(C2)*(E2)</f>
        <v>3000</v>
      </c>
    </row>
    <row r="3" spans="1:6" x14ac:dyDescent="0.3">
      <c r="A3" t="s">
        <v>33</v>
      </c>
      <c r="B3" t="s">
        <v>34</v>
      </c>
      <c r="C3">
        <v>150</v>
      </c>
      <c r="D3">
        <v>5000</v>
      </c>
      <c r="E3">
        <v>35</v>
      </c>
      <c r="F3">
        <f>(C3)*(E3)</f>
        <v>5250</v>
      </c>
    </row>
    <row r="4" spans="1:6" x14ac:dyDescent="0.3">
      <c r="A4" t="s">
        <v>35</v>
      </c>
      <c r="B4" t="s">
        <v>36</v>
      </c>
      <c r="C4">
        <v>500</v>
      </c>
      <c r="D4" t="s">
        <v>37</v>
      </c>
      <c r="E4">
        <v>10</v>
      </c>
      <c r="F4">
        <f>(C4)*(E4)</f>
        <v>5000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F11" sqref="F11"/>
    </sheetView>
  </sheetViews>
  <sheetFormatPr defaultRowHeight="14.4" x14ac:dyDescent="0.3"/>
  <cols>
    <col min="1" max="1" width="17.77734375" bestFit="1" customWidth="1"/>
    <col min="2" max="2" width="9" bestFit="1" customWidth="1"/>
    <col min="3" max="3" width="16" bestFit="1" customWidth="1"/>
  </cols>
  <sheetData>
    <row r="1" spans="1:3" x14ac:dyDescent="0.3">
      <c r="A1" s="5" t="s">
        <v>38</v>
      </c>
      <c r="B1" s="5" t="s">
        <v>39</v>
      </c>
      <c r="C1" s="5" t="s">
        <v>40</v>
      </c>
    </row>
    <row r="2" spans="1:3" x14ac:dyDescent="0.3">
      <c r="A2" t="s">
        <v>41</v>
      </c>
      <c r="B2" t="s">
        <v>42</v>
      </c>
      <c r="C2">
        <v>1200</v>
      </c>
    </row>
    <row r="3" spans="1:3" x14ac:dyDescent="0.3">
      <c r="A3" t="s">
        <v>43</v>
      </c>
      <c r="B3" t="s">
        <v>42</v>
      </c>
      <c r="C3">
        <v>800</v>
      </c>
    </row>
    <row r="4" spans="1:3" x14ac:dyDescent="0.3">
      <c r="A4" t="s">
        <v>44</v>
      </c>
      <c r="B4" t="s">
        <v>45</v>
      </c>
      <c r="C4">
        <v>400</v>
      </c>
    </row>
    <row r="5" spans="1:3" x14ac:dyDescent="0.3">
      <c r="A5" t="s">
        <v>46</v>
      </c>
      <c r="B5" t="s">
        <v>45</v>
      </c>
      <c r="C5">
        <v>3500</v>
      </c>
    </row>
    <row r="6" spans="1:3" x14ac:dyDescent="0.3">
      <c r="A6" t="s">
        <v>47</v>
      </c>
      <c r="B6" t="s">
        <v>45</v>
      </c>
      <c r="C6">
        <v>1000</v>
      </c>
    </row>
    <row r="7" spans="1:3" x14ac:dyDescent="0.3">
      <c r="A7" t="s">
        <v>48</v>
      </c>
      <c r="B7" t="s">
        <v>45</v>
      </c>
      <c r="C7">
        <v>700</v>
      </c>
    </row>
    <row r="8" spans="1:3" x14ac:dyDescent="0.3">
      <c r="A8" t="s">
        <v>49</v>
      </c>
      <c r="B8" t="s">
        <v>45</v>
      </c>
      <c r="C8">
        <v>400</v>
      </c>
    </row>
    <row r="9" spans="1:3" x14ac:dyDescent="0.3">
      <c r="C9">
        <f>SUM(C2:C8)</f>
        <v>8000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11" sqref="E11"/>
    </sheetView>
  </sheetViews>
  <sheetFormatPr defaultRowHeight="14.4" x14ac:dyDescent="0.3"/>
  <cols>
    <col min="1" max="1" width="10" bestFit="1" customWidth="1"/>
    <col min="2" max="2" width="32.44140625" bestFit="1" customWidth="1"/>
    <col min="3" max="3" width="29.21875" bestFit="1" customWidth="1"/>
    <col min="4" max="4" width="12.44140625" bestFit="1" customWidth="1"/>
    <col min="5" max="5" width="14.6640625" bestFit="1" customWidth="1"/>
  </cols>
  <sheetData>
    <row r="1" spans="1:5" x14ac:dyDescent="0.3">
      <c r="A1" s="5" t="s">
        <v>26</v>
      </c>
      <c r="B1" s="5" t="s">
        <v>50</v>
      </c>
      <c r="C1" s="5" t="s">
        <v>51</v>
      </c>
      <c r="D1" s="5" t="s">
        <v>63</v>
      </c>
      <c r="E1" s="5" t="s">
        <v>64</v>
      </c>
    </row>
    <row r="2" spans="1:5" x14ac:dyDescent="0.3">
      <c r="A2" t="s">
        <v>31</v>
      </c>
      <c r="B2">
        <v>75</v>
      </c>
      <c r="C2">
        <v>30</v>
      </c>
      <c r="D2">
        <f>(B2)-(C2)</f>
        <v>45</v>
      </c>
      <c r="E2">
        <f>(D2)/(B2)*100</f>
        <v>60</v>
      </c>
    </row>
    <row r="3" spans="1:5" x14ac:dyDescent="0.3">
      <c r="A3" t="s">
        <v>33</v>
      </c>
      <c r="B3">
        <v>150</v>
      </c>
      <c r="C3">
        <v>50</v>
      </c>
      <c r="D3">
        <f t="shared" ref="D3:D4" si="0">(B3)-(C3)</f>
        <v>100</v>
      </c>
      <c r="E3">
        <f t="shared" ref="E3:E4" si="1">(D3)/(B3)*100</f>
        <v>66.666666666666657</v>
      </c>
    </row>
    <row r="4" spans="1:5" x14ac:dyDescent="0.3">
      <c r="A4" t="s">
        <v>35</v>
      </c>
      <c r="B4">
        <v>500</v>
      </c>
      <c r="C4">
        <v>120</v>
      </c>
      <c r="D4">
        <f t="shared" si="0"/>
        <v>380</v>
      </c>
      <c r="E4">
        <f t="shared" si="1"/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I12" sqref="I12"/>
    </sheetView>
  </sheetViews>
  <sheetFormatPr defaultRowHeight="14.4" x14ac:dyDescent="0.3"/>
  <cols>
    <col min="1" max="1" width="12.5546875" customWidth="1"/>
    <col min="2" max="2" width="16.21875" customWidth="1"/>
    <col min="3" max="3" width="19.21875" bestFit="1" customWidth="1"/>
    <col min="4" max="4" width="16" bestFit="1" customWidth="1"/>
    <col min="5" max="5" width="9.33203125" bestFit="1" customWidth="1"/>
  </cols>
  <sheetData>
    <row r="1" spans="1:7" s="8" customFormat="1" ht="22.8" customHeight="1" x14ac:dyDescent="0.3">
      <c r="A1" s="7" t="s">
        <v>52</v>
      </c>
      <c r="B1" s="7" t="s">
        <v>53</v>
      </c>
      <c r="C1" s="7" t="s">
        <v>54</v>
      </c>
      <c r="D1" s="7" t="s">
        <v>40</v>
      </c>
      <c r="E1" s="7" t="s">
        <v>55</v>
      </c>
    </row>
    <row r="2" spans="1:7" x14ac:dyDescent="0.3">
      <c r="A2">
        <v>1</v>
      </c>
      <c r="B2">
        <v>20</v>
      </c>
      <c r="C2">
        <v>3000</v>
      </c>
      <c r="D2">
        <v>5200</v>
      </c>
      <c r="E2">
        <f>(C2)-(D2)</f>
        <v>-2200</v>
      </c>
      <c r="G2" s="6"/>
    </row>
    <row r="3" spans="1:7" x14ac:dyDescent="0.3">
      <c r="A3">
        <v>2</v>
      </c>
      <c r="B3">
        <v>30</v>
      </c>
      <c r="C3">
        <v>4500</v>
      </c>
      <c r="D3">
        <v>5500</v>
      </c>
      <c r="E3">
        <f t="shared" ref="E3:E13" si="0">(C3)-(D3)</f>
        <v>-1000</v>
      </c>
    </row>
    <row r="4" spans="1:7" x14ac:dyDescent="0.3">
      <c r="A4">
        <v>3</v>
      </c>
      <c r="B4">
        <v>45</v>
      </c>
      <c r="C4">
        <v>7200</v>
      </c>
      <c r="D4">
        <v>5900</v>
      </c>
      <c r="E4">
        <f t="shared" si="0"/>
        <v>1300</v>
      </c>
    </row>
    <row r="5" spans="1:7" x14ac:dyDescent="0.3">
      <c r="A5">
        <v>4</v>
      </c>
      <c r="B5">
        <v>60</v>
      </c>
      <c r="C5">
        <v>9600</v>
      </c>
      <c r="D5">
        <v>6400</v>
      </c>
      <c r="E5">
        <f t="shared" si="0"/>
        <v>3200</v>
      </c>
    </row>
    <row r="6" spans="1:7" x14ac:dyDescent="0.3">
      <c r="A6">
        <v>5</v>
      </c>
      <c r="B6">
        <v>75</v>
      </c>
      <c r="C6">
        <v>12000</v>
      </c>
      <c r="D6">
        <v>6900</v>
      </c>
      <c r="E6">
        <f t="shared" si="0"/>
        <v>5100</v>
      </c>
    </row>
    <row r="7" spans="1:7" x14ac:dyDescent="0.3">
      <c r="A7">
        <v>6</v>
      </c>
      <c r="B7">
        <v>90</v>
      </c>
      <c r="C7">
        <v>15000</v>
      </c>
      <c r="D7">
        <v>7400</v>
      </c>
      <c r="E7">
        <f t="shared" si="0"/>
        <v>7600</v>
      </c>
    </row>
    <row r="8" spans="1:7" x14ac:dyDescent="0.3">
      <c r="A8">
        <v>7</v>
      </c>
      <c r="B8">
        <v>110</v>
      </c>
      <c r="C8">
        <v>18500</v>
      </c>
      <c r="D8">
        <v>8000</v>
      </c>
      <c r="E8">
        <f t="shared" si="0"/>
        <v>10500</v>
      </c>
    </row>
    <row r="9" spans="1:7" x14ac:dyDescent="0.3">
      <c r="A9">
        <v>8</v>
      </c>
      <c r="B9">
        <v>130</v>
      </c>
      <c r="C9">
        <v>22000</v>
      </c>
      <c r="D9">
        <v>8600</v>
      </c>
      <c r="E9">
        <f t="shared" si="0"/>
        <v>13400</v>
      </c>
    </row>
    <row r="10" spans="1:7" x14ac:dyDescent="0.3">
      <c r="A10">
        <v>9</v>
      </c>
      <c r="B10">
        <v>150</v>
      </c>
      <c r="C10">
        <v>25500</v>
      </c>
      <c r="D10">
        <v>9200</v>
      </c>
      <c r="E10">
        <f t="shared" si="0"/>
        <v>16300</v>
      </c>
    </row>
    <row r="11" spans="1:7" x14ac:dyDescent="0.3">
      <c r="A11">
        <v>10</v>
      </c>
      <c r="B11">
        <v>170</v>
      </c>
      <c r="C11">
        <v>29000</v>
      </c>
      <c r="D11">
        <v>9800</v>
      </c>
      <c r="E11">
        <f t="shared" si="0"/>
        <v>19200</v>
      </c>
    </row>
    <row r="12" spans="1:7" x14ac:dyDescent="0.3">
      <c r="A12">
        <v>11</v>
      </c>
      <c r="B12">
        <v>190</v>
      </c>
      <c r="C12">
        <v>32500</v>
      </c>
      <c r="D12">
        <v>10500</v>
      </c>
      <c r="E12">
        <f t="shared" si="0"/>
        <v>22000</v>
      </c>
    </row>
    <row r="13" spans="1:7" x14ac:dyDescent="0.3">
      <c r="A13">
        <v>12</v>
      </c>
      <c r="B13">
        <v>220</v>
      </c>
      <c r="C13">
        <v>37500</v>
      </c>
      <c r="D13">
        <v>11500</v>
      </c>
      <c r="E13">
        <f t="shared" si="0"/>
        <v>26000</v>
      </c>
    </row>
    <row r="16" spans="1:7" x14ac:dyDescent="0.3">
      <c r="A16" s="1" t="s">
        <v>56</v>
      </c>
      <c r="B16" t="s">
        <v>60</v>
      </c>
    </row>
    <row r="17" spans="1:2" x14ac:dyDescent="0.3">
      <c r="A17" s="2">
        <v>1</v>
      </c>
      <c r="B17" s="3">
        <v>-2200</v>
      </c>
    </row>
    <row r="18" spans="1:2" x14ac:dyDescent="0.3">
      <c r="A18" s="2">
        <v>2</v>
      </c>
      <c r="B18" s="3">
        <v>-1000</v>
      </c>
    </row>
    <row r="19" spans="1:2" x14ac:dyDescent="0.3">
      <c r="A19" s="2">
        <v>3</v>
      </c>
      <c r="B19" s="3">
        <v>1300</v>
      </c>
    </row>
    <row r="20" spans="1:2" x14ac:dyDescent="0.3">
      <c r="A20" s="2">
        <v>4</v>
      </c>
      <c r="B20" s="3">
        <v>3200</v>
      </c>
    </row>
    <row r="21" spans="1:2" x14ac:dyDescent="0.3">
      <c r="A21" s="2">
        <v>5</v>
      </c>
      <c r="B21" s="3">
        <v>5100</v>
      </c>
    </row>
    <row r="22" spans="1:2" x14ac:dyDescent="0.3">
      <c r="A22" s="2">
        <v>6</v>
      </c>
      <c r="B22" s="3">
        <v>7600</v>
      </c>
    </row>
    <row r="23" spans="1:2" x14ac:dyDescent="0.3">
      <c r="A23" s="2">
        <v>7</v>
      </c>
      <c r="B23" s="3">
        <v>10500</v>
      </c>
    </row>
    <row r="24" spans="1:2" x14ac:dyDescent="0.3">
      <c r="A24" s="2">
        <v>8</v>
      </c>
      <c r="B24" s="3">
        <v>13400</v>
      </c>
    </row>
    <row r="25" spans="1:2" x14ac:dyDescent="0.3">
      <c r="A25" s="2">
        <v>9</v>
      </c>
      <c r="B25" s="3">
        <v>16300</v>
      </c>
    </row>
    <row r="26" spans="1:2" x14ac:dyDescent="0.3">
      <c r="A26" s="2">
        <v>10</v>
      </c>
      <c r="B26" s="3">
        <v>19200</v>
      </c>
    </row>
    <row r="27" spans="1:2" x14ac:dyDescent="0.3">
      <c r="A27" s="2">
        <v>11</v>
      </c>
      <c r="B27" s="3">
        <v>22000</v>
      </c>
    </row>
    <row r="28" spans="1:2" x14ac:dyDescent="0.3">
      <c r="A28" s="2">
        <v>12</v>
      </c>
      <c r="B28" s="3">
        <v>26000</v>
      </c>
    </row>
    <row r="29" spans="1:2" x14ac:dyDescent="0.3">
      <c r="A29" s="2" t="s">
        <v>57</v>
      </c>
      <c r="B29" s="3">
        <v>121400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Client's Data</vt:lpstr>
      <vt:lpstr>Conversion Rate</vt:lpstr>
      <vt:lpstr>AI impact</vt:lpstr>
      <vt:lpstr>Plans</vt:lpstr>
      <vt:lpstr>Monthly Cost</vt:lpstr>
      <vt:lpstr>Unit Economics</vt:lpstr>
      <vt:lpstr>12 month growth projection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2026-01-02T14:20:50Z</dcterms:modified>
</cp:coreProperties>
</file>