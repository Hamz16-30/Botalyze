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hidePivotFieldList="1" defaultThemeVersion="124226"/>
  <bookViews>
    <workbookView xWindow="240" yWindow="108" windowWidth="14808" windowHeight="8016" activeTab="2"/>
  </bookViews>
  <sheets>
    <sheet name="Services &amp; Pricing" sheetId="1" r:id="rId1"/>
    <sheet name="Booking Data" sheetId="2" r:id="rId2"/>
    <sheet name="Calculations" sheetId="3" r:id="rId3"/>
  </sheets>
  <calcPr calcId="152511"/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2" i="3"/>
  <c r="H3" i="3"/>
  <c r="H4" i="3"/>
  <c r="H5" i="3"/>
  <c r="H6" i="3"/>
  <c r="H7" i="3"/>
  <c r="H8" i="3"/>
  <c r="H9" i="3"/>
  <c r="H10" i="3"/>
  <c r="H11" i="3"/>
  <c r="H2" i="3"/>
  <c r="F3" i="3"/>
  <c r="F4" i="3"/>
  <c r="F5" i="3"/>
  <c r="F6" i="3"/>
  <c r="F7" i="3"/>
  <c r="F8" i="3"/>
  <c r="F9" i="3"/>
  <c r="F10" i="3"/>
  <c r="F11" i="3"/>
  <c r="F2" i="3"/>
</calcChain>
</file>

<file path=xl/sharedStrings.xml><?xml version="1.0" encoding="utf-8"?>
<sst xmlns="http://schemas.openxmlformats.org/spreadsheetml/2006/main" count="92" uniqueCount="54">
  <si>
    <t>Service ID</t>
  </si>
  <si>
    <t>Service Name</t>
  </si>
  <si>
    <t>Industry</t>
  </si>
  <si>
    <t>Setup Fee ($)</t>
  </si>
  <si>
    <t>Monthly Fee ($)</t>
  </si>
  <si>
    <t>Calls Included</t>
  </si>
  <si>
    <t>Extra Call Cost ($)</t>
  </si>
  <si>
    <t>S001</t>
  </si>
  <si>
    <t>AI Reservation Agent</t>
  </si>
  <si>
    <t>Hotel</t>
  </si>
  <si>
    <t>S002</t>
  </si>
  <si>
    <t>AI Order Taking Agent</t>
  </si>
  <si>
    <t>Restaurant</t>
  </si>
  <si>
    <t>S003</t>
  </si>
  <si>
    <t>AI Follow‑up Agent</t>
  </si>
  <si>
    <t>Client ID</t>
  </si>
  <si>
    <t>Business Name</t>
  </si>
  <si>
    <t>Business Type</t>
  </si>
  <si>
    <t>City</t>
  </si>
  <si>
    <t>Monthly Calls Used</t>
  </si>
  <si>
    <t>Booking Date</t>
  </si>
  <si>
    <t>C001</t>
  </si>
  <si>
    <t>Grand Pearl Hotel</t>
  </si>
  <si>
    <t>Dubai</t>
  </si>
  <si>
    <t>C002</t>
  </si>
  <si>
    <t>Spice Route</t>
  </si>
  <si>
    <t>Lahore</t>
  </si>
  <si>
    <t>C003</t>
  </si>
  <si>
    <t>Ocean View Inn</t>
  </si>
  <si>
    <t>Karachi</t>
  </si>
  <si>
    <t>Calls Used</t>
  </si>
  <si>
    <t>Included Calls</t>
  </si>
  <si>
    <t>Extra Calls</t>
  </si>
  <si>
    <t>Extra Cost ($)</t>
  </si>
  <si>
    <t>Total Monthly Cost ($)</t>
  </si>
  <si>
    <t>C004</t>
  </si>
  <si>
    <t>Royal Palm Suites</t>
  </si>
  <si>
    <t>Abu Dhabi</t>
  </si>
  <si>
    <t>C005</t>
  </si>
  <si>
    <t>The Urban Dine</t>
  </si>
  <si>
    <t>Islamabad</t>
  </si>
  <si>
    <t>C006</t>
  </si>
  <si>
    <t>Sunrise Residency</t>
  </si>
  <si>
    <t>Sharjah</t>
  </si>
  <si>
    <t>C007</t>
  </si>
  <si>
    <t>Fusion Bistro</t>
  </si>
  <si>
    <t>C008</t>
  </si>
  <si>
    <t>Elite Grand Hotel</t>
  </si>
  <si>
    <t>London</t>
  </si>
  <si>
    <t>C009</t>
  </si>
  <si>
    <t>Harbor View Café</t>
  </si>
  <si>
    <t>C010</t>
  </si>
  <si>
    <t>Skyline Business Hotel</t>
  </si>
  <si>
    <t>Istanbul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</si>
</sst>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E17" sqref="E17"/>
    </sheetView>
  </sheetViews>
  <sheetFormatPr defaultRowHeight="14.4" x14ac:dyDescent="0.3"/>
  <cols>
    <col min="1" max="1" width="9" style="1" bestFit="1" customWidth="1"/>
    <col min="2" max="2" width="18.77734375" style="1" bestFit="1" customWidth="1"/>
    <col min="3" max="3" width="9.88671875" style="1" bestFit="1" customWidth="1"/>
    <col min="4" max="4" width="11.44140625" style="1" bestFit="1" customWidth="1"/>
    <col min="5" max="5" width="13.77734375" style="1" bestFit="1" customWidth="1"/>
    <col min="6" max="6" width="12.109375" style="1" bestFit="1" customWidth="1"/>
    <col min="7" max="7" width="15.44140625" style="1" bestFit="1" customWidth="1"/>
    <col min="8" max="16384" width="8.88671875" style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>
        <v>500</v>
      </c>
      <c r="E2" s="1">
        <v>299</v>
      </c>
      <c r="F2" s="1">
        <v>1000</v>
      </c>
      <c r="G2" s="1">
        <v>0.1</v>
      </c>
    </row>
    <row r="3" spans="1:7" x14ac:dyDescent="0.3">
      <c r="A3" s="1" t="s">
        <v>10</v>
      </c>
      <c r="B3" s="1" t="s">
        <v>11</v>
      </c>
      <c r="C3" s="1" t="s">
        <v>12</v>
      </c>
      <c r="D3" s="1">
        <v>300</v>
      </c>
      <c r="E3" s="1">
        <v>199</v>
      </c>
      <c r="F3" s="1">
        <v>800</v>
      </c>
      <c r="G3" s="1">
        <v>0.12</v>
      </c>
    </row>
    <row r="4" spans="1:7" x14ac:dyDescent="0.3">
      <c r="A4" s="1" t="s">
        <v>13</v>
      </c>
      <c r="B4" s="1" t="s">
        <v>14</v>
      </c>
      <c r="C4" s="1" t="s">
        <v>9</v>
      </c>
      <c r="D4" s="1">
        <v>400</v>
      </c>
      <c r="E4" s="1">
        <v>249</v>
      </c>
      <c r="F4" s="1">
        <v>900</v>
      </c>
      <c r="G4" s="1">
        <v>0.11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E20" sqref="E20"/>
    </sheetView>
  </sheetViews>
  <sheetFormatPr defaultRowHeight="14.4" x14ac:dyDescent="0.3"/>
  <cols>
    <col min="1" max="1" width="7.88671875" style="1" bestFit="1" customWidth="1"/>
    <col min="2" max="2" width="19" style="1" bestFit="1" customWidth="1"/>
    <col min="3" max="3" width="12.21875" style="1" bestFit="1" customWidth="1"/>
    <col min="4" max="4" width="9.33203125" style="1" bestFit="1" customWidth="1"/>
    <col min="5" max="5" width="9" style="1" bestFit="1" customWidth="1"/>
    <col min="6" max="6" width="16.6640625" style="1" bestFit="1" customWidth="1"/>
    <col min="7" max="7" width="11.88671875" style="1" bestFit="1" customWidth="1"/>
    <col min="8" max="16384" width="8.88671875" style="1"/>
  </cols>
  <sheetData>
    <row r="1" spans="1:7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0</v>
      </c>
      <c r="F1" s="3" t="s">
        <v>19</v>
      </c>
      <c r="G1" s="3" t="s">
        <v>20</v>
      </c>
    </row>
    <row r="2" spans="1:7" x14ac:dyDescent="0.3">
      <c r="A2" s="1" t="s">
        <v>21</v>
      </c>
      <c r="B2" s="1" t="s">
        <v>22</v>
      </c>
      <c r="C2" s="1" t="s">
        <v>9</v>
      </c>
      <c r="D2" s="1" t="s">
        <v>23</v>
      </c>
      <c r="E2" s="1" t="s">
        <v>7</v>
      </c>
      <c r="F2" s="1">
        <v>1200</v>
      </c>
      <c r="G2" s="2">
        <v>45992</v>
      </c>
    </row>
    <row r="3" spans="1:7" x14ac:dyDescent="0.3">
      <c r="A3" s="1" t="s">
        <v>24</v>
      </c>
      <c r="B3" s="1" t="s">
        <v>25</v>
      </c>
      <c r="C3" s="1" t="s">
        <v>12</v>
      </c>
      <c r="D3" s="1" t="s">
        <v>26</v>
      </c>
      <c r="E3" s="1" t="s">
        <v>10</v>
      </c>
      <c r="F3" s="1">
        <v>700</v>
      </c>
      <c r="G3" s="2">
        <v>45993</v>
      </c>
    </row>
    <row r="4" spans="1:7" x14ac:dyDescent="0.3">
      <c r="A4" s="1" t="s">
        <v>27</v>
      </c>
      <c r="B4" s="1" t="s">
        <v>28</v>
      </c>
      <c r="C4" s="1" t="s">
        <v>9</v>
      </c>
      <c r="D4" s="1" t="s">
        <v>29</v>
      </c>
      <c r="E4" s="1" t="s">
        <v>13</v>
      </c>
      <c r="F4" s="1">
        <v>950</v>
      </c>
      <c r="G4" s="2">
        <v>45994</v>
      </c>
    </row>
    <row r="5" spans="1:7" x14ac:dyDescent="0.3">
      <c r="A5" s="1" t="s">
        <v>35</v>
      </c>
      <c r="B5" s="1" t="s">
        <v>36</v>
      </c>
      <c r="C5" s="1" t="s">
        <v>9</v>
      </c>
      <c r="D5" s="1" t="s">
        <v>37</v>
      </c>
      <c r="E5" s="1" t="s">
        <v>7</v>
      </c>
      <c r="F5" s="1">
        <v>1100</v>
      </c>
      <c r="G5" s="2">
        <v>45995</v>
      </c>
    </row>
    <row r="6" spans="1:7" x14ac:dyDescent="0.3">
      <c r="A6" s="1" t="s">
        <v>38</v>
      </c>
      <c r="B6" s="1" t="s">
        <v>39</v>
      </c>
      <c r="C6" s="1" t="s">
        <v>12</v>
      </c>
      <c r="D6" s="1" t="s">
        <v>40</v>
      </c>
      <c r="E6" s="1" t="s">
        <v>10</v>
      </c>
      <c r="F6" s="1">
        <v>850</v>
      </c>
      <c r="G6" s="2">
        <v>45996</v>
      </c>
    </row>
    <row r="7" spans="1:7" x14ac:dyDescent="0.3">
      <c r="A7" s="1" t="s">
        <v>41</v>
      </c>
      <c r="B7" s="1" t="s">
        <v>42</v>
      </c>
      <c r="C7" s="1" t="s">
        <v>9</v>
      </c>
      <c r="D7" s="1" t="s">
        <v>43</v>
      </c>
      <c r="E7" s="1" t="s">
        <v>13</v>
      </c>
      <c r="F7" s="1">
        <v>780</v>
      </c>
      <c r="G7" s="2">
        <v>45997</v>
      </c>
    </row>
    <row r="8" spans="1:7" x14ac:dyDescent="0.3">
      <c r="A8" s="1" t="s">
        <v>44</v>
      </c>
      <c r="B8" s="1" t="s">
        <v>45</v>
      </c>
      <c r="C8" s="1" t="s">
        <v>12</v>
      </c>
      <c r="D8" s="1" t="s">
        <v>23</v>
      </c>
      <c r="E8" s="1" t="s">
        <v>10</v>
      </c>
      <c r="F8" s="1">
        <v>920</v>
      </c>
      <c r="G8" s="2">
        <v>45998</v>
      </c>
    </row>
    <row r="9" spans="1:7" x14ac:dyDescent="0.3">
      <c r="A9" s="1" t="s">
        <v>46</v>
      </c>
      <c r="B9" s="1" t="s">
        <v>47</v>
      </c>
      <c r="C9" s="1" t="s">
        <v>9</v>
      </c>
      <c r="D9" s="1" t="s">
        <v>48</v>
      </c>
      <c r="E9" s="1" t="s">
        <v>7</v>
      </c>
      <c r="F9" s="1">
        <v>1400</v>
      </c>
      <c r="G9" s="2">
        <v>45999</v>
      </c>
    </row>
    <row r="10" spans="1:7" x14ac:dyDescent="0.3">
      <c r="A10" s="1" t="s">
        <v>49</v>
      </c>
      <c r="B10" s="1" t="s">
        <v>50</v>
      </c>
      <c r="C10" s="1" t="s">
        <v>12</v>
      </c>
      <c r="D10" s="1" t="s">
        <v>29</v>
      </c>
      <c r="E10" s="1" t="s">
        <v>10</v>
      </c>
      <c r="F10" s="1">
        <v>650</v>
      </c>
      <c r="G10" s="2">
        <v>46000</v>
      </c>
    </row>
    <row r="11" spans="1:7" x14ac:dyDescent="0.3">
      <c r="A11" s="1" t="s">
        <v>51</v>
      </c>
      <c r="B11" s="1" t="s">
        <v>52</v>
      </c>
      <c r="C11" s="1" t="s">
        <v>9</v>
      </c>
      <c r="D11" s="1" t="s">
        <v>53</v>
      </c>
      <c r="E11" s="1" t="s">
        <v>13</v>
      </c>
      <c r="F11" s="1">
        <v>1000</v>
      </c>
      <c r="G11" s="2">
        <v>46001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H22" sqref="H22"/>
    </sheetView>
  </sheetViews>
  <sheetFormatPr defaultRowHeight="14.4" x14ac:dyDescent="0.3"/>
  <cols>
    <col min="1" max="1" width="7.88671875" style="1" bestFit="1" customWidth="1"/>
    <col min="2" max="2" width="11.44140625" style="1" bestFit="1" customWidth="1"/>
    <col min="3" max="3" width="13.77734375" style="1" bestFit="1" customWidth="1"/>
    <col min="4" max="4" width="9.33203125" style="1" bestFit="1" customWidth="1"/>
    <col min="5" max="5" width="12.109375" style="1" bestFit="1" customWidth="1"/>
    <col min="6" max="6" width="9.44140625" style="1" bestFit="1" customWidth="1"/>
    <col min="7" max="7" width="15.44140625" style="1" bestFit="1" customWidth="1"/>
    <col min="8" max="8" width="11.88671875" style="1" bestFit="1" customWidth="1"/>
    <col min="9" max="9" width="19.33203125" style="1" bestFit="1" customWidth="1"/>
    <col min="10" max="16384" width="8.88671875" style="1"/>
  </cols>
  <sheetData>
    <row r="1" spans="1:9" x14ac:dyDescent="0.3">
      <c r="A1" s="3" t="s">
        <v>15</v>
      </c>
      <c r="B1" s="3" t="s">
        <v>3</v>
      </c>
      <c r="C1" s="3" t="s">
        <v>4</v>
      </c>
      <c r="D1" s="3" t="s">
        <v>30</v>
      </c>
      <c r="E1" s="3" t="s">
        <v>31</v>
      </c>
      <c r="F1" s="3" t="s">
        <v>32</v>
      </c>
      <c r="G1" s="3" t="s">
        <v>6</v>
      </c>
      <c r="H1" s="3" t="s">
        <v>33</v>
      </c>
      <c r="I1" s="3" t="s">
        <v>34</v>
      </c>
    </row>
    <row r="2" spans="1:9" x14ac:dyDescent="0.3">
      <c r="A2" s="1" t="s">
        <v>21</v>
      </c>
      <c r="B2" s="1">
        <v>500</v>
      </c>
      <c r="C2" s="1">
        <v>299</v>
      </c>
      <c r="D2" s="1">
        <v>1200</v>
      </c>
      <c r="E2" s="1">
        <v>1000</v>
      </c>
      <c r="F2" s="1">
        <f>IF(D2&gt;E2, D2-E2, 0)</f>
        <v>200</v>
      </c>
      <c r="G2" s="1">
        <v>0.1</v>
      </c>
      <c r="H2" s="1">
        <f>F2*G2</f>
        <v>20</v>
      </c>
      <c r="I2" s="1">
        <f>B2+C2+H2</f>
        <v>819</v>
      </c>
    </row>
    <row r="3" spans="1:9" x14ac:dyDescent="0.3">
      <c r="A3" s="1" t="s">
        <v>24</v>
      </c>
      <c r="B3" s="1">
        <v>300</v>
      </c>
      <c r="C3" s="1">
        <v>199</v>
      </c>
      <c r="D3" s="1">
        <v>700</v>
      </c>
      <c r="E3" s="1">
        <v>800</v>
      </c>
      <c r="F3" s="1">
        <f t="shared" ref="F3:F11" si="0">IF(D3&gt;E3, D3-E3, 0)</f>
        <v>0</v>
      </c>
      <c r="G3" s="1">
        <v>0.12</v>
      </c>
      <c r="H3" s="1">
        <f t="shared" ref="H3:H11" si="1">F3*G3</f>
        <v>0</v>
      </c>
      <c r="I3" s="1">
        <f t="shared" ref="I3:I11" si="2">B3+C3+H3</f>
        <v>499</v>
      </c>
    </row>
    <row r="4" spans="1:9" x14ac:dyDescent="0.3">
      <c r="A4" s="1" t="s">
        <v>27</v>
      </c>
      <c r="B4" s="1">
        <v>400</v>
      </c>
      <c r="C4" s="1">
        <v>249</v>
      </c>
      <c r="D4" s="1">
        <v>950</v>
      </c>
      <c r="E4" s="1">
        <v>900</v>
      </c>
      <c r="F4" s="1">
        <f t="shared" si="0"/>
        <v>50</v>
      </c>
      <c r="G4" s="1">
        <v>0.11</v>
      </c>
      <c r="H4" s="1">
        <f t="shared" si="1"/>
        <v>5.5</v>
      </c>
      <c r="I4" s="1">
        <f t="shared" si="2"/>
        <v>654.5</v>
      </c>
    </row>
    <row r="5" spans="1:9" x14ac:dyDescent="0.3">
      <c r="A5" s="1" t="s">
        <v>35</v>
      </c>
      <c r="B5" s="1">
        <v>500</v>
      </c>
      <c r="C5" s="1">
        <v>299</v>
      </c>
      <c r="D5" s="1">
        <v>1100</v>
      </c>
      <c r="E5" s="1">
        <v>1000</v>
      </c>
      <c r="F5" s="1">
        <f t="shared" si="0"/>
        <v>100</v>
      </c>
      <c r="G5" s="1">
        <v>0.1</v>
      </c>
      <c r="H5" s="1">
        <f t="shared" si="1"/>
        <v>10</v>
      </c>
      <c r="I5" s="1">
        <f t="shared" si="2"/>
        <v>809</v>
      </c>
    </row>
    <row r="6" spans="1:9" x14ac:dyDescent="0.3">
      <c r="A6" s="1" t="s">
        <v>38</v>
      </c>
      <c r="B6" s="1">
        <v>300</v>
      </c>
      <c r="C6" s="1">
        <v>199</v>
      </c>
      <c r="D6" s="1">
        <v>850</v>
      </c>
      <c r="E6" s="1">
        <v>800</v>
      </c>
      <c r="F6" s="1">
        <f t="shared" si="0"/>
        <v>50</v>
      </c>
      <c r="G6" s="1">
        <v>0.12</v>
      </c>
      <c r="H6" s="1">
        <f t="shared" si="1"/>
        <v>6</v>
      </c>
      <c r="I6" s="1">
        <f t="shared" si="2"/>
        <v>505</v>
      </c>
    </row>
    <row r="7" spans="1:9" x14ac:dyDescent="0.3">
      <c r="A7" s="1" t="s">
        <v>41</v>
      </c>
      <c r="B7" s="1">
        <v>400</v>
      </c>
      <c r="C7" s="1">
        <v>249</v>
      </c>
      <c r="D7" s="1">
        <v>780</v>
      </c>
      <c r="E7" s="1">
        <v>900</v>
      </c>
      <c r="F7" s="1">
        <f t="shared" si="0"/>
        <v>0</v>
      </c>
      <c r="G7" s="1">
        <v>0.11</v>
      </c>
      <c r="H7" s="1">
        <f t="shared" si="1"/>
        <v>0</v>
      </c>
      <c r="I7" s="1">
        <f t="shared" si="2"/>
        <v>649</v>
      </c>
    </row>
    <row r="8" spans="1:9" x14ac:dyDescent="0.3">
      <c r="A8" s="1" t="s">
        <v>44</v>
      </c>
      <c r="B8" s="1">
        <v>300</v>
      </c>
      <c r="C8" s="1">
        <v>199</v>
      </c>
      <c r="D8" s="1">
        <v>920</v>
      </c>
      <c r="E8" s="1">
        <v>800</v>
      </c>
      <c r="F8" s="1">
        <f t="shared" si="0"/>
        <v>120</v>
      </c>
      <c r="G8" s="1">
        <v>0.12</v>
      </c>
      <c r="H8" s="1">
        <f t="shared" si="1"/>
        <v>14.399999999999999</v>
      </c>
      <c r="I8" s="1">
        <f t="shared" si="2"/>
        <v>513.4</v>
      </c>
    </row>
    <row r="9" spans="1:9" x14ac:dyDescent="0.3">
      <c r="A9" s="1" t="s">
        <v>46</v>
      </c>
      <c r="B9" s="1">
        <v>500</v>
      </c>
      <c r="C9" s="1">
        <v>299</v>
      </c>
      <c r="D9" s="1">
        <v>1400</v>
      </c>
      <c r="E9" s="1">
        <v>1000</v>
      </c>
      <c r="F9" s="1">
        <f t="shared" si="0"/>
        <v>400</v>
      </c>
      <c r="G9" s="1">
        <v>0.1</v>
      </c>
      <c r="H9" s="1">
        <f t="shared" si="1"/>
        <v>40</v>
      </c>
      <c r="I9" s="1">
        <f t="shared" si="2"/>
        <v>839</v>
      </c>
    </row>
    <row r="10" spans="1:9" x14ac:dyDescent="0.3">
      <c r="A10" s="1" t="s">
        <v>49</v>
      </c>
      <c r="B10" s="1">
        <v>300</v>
      </c>
      <c r="C10" s="1">
        <v>199</v>
      </c>
      <c r="D10" s="1">
        <v>650</v>
      </c>
      <c r="E10" s="1">
        <v>800</v>
      </c>
      <c r="F10" s="1">
        <f t="shared" si="0"/>
        <v>0</v>
      </c>
      <c r="G10" s="1">
        <v>0.12</v>
      </c>
      <c r="H10" s="1">
        <f t="shared" si="1"/>
        <v>0</v>
      </c>
      <c r="I10" s="1">
        <f t="shared" si="2"/>
        <v>499</v>
      </c>
    </row>
    <row r="11" spans="1:9" x14ac:dyDescent="0.3">
      <c r="A11" s="1" t="s">
        <v>51</v>
      </c>
      <c r="B11" s="1">
        <v>400</v>
      </c>
      <c r="C11" s="1">
        <v>249</v>
      </c>
      <c r="D11" s="1">
        <v>1000</v>
      </c>
      <c r="E11" s="1">
        <v>900</v>
      </c>
      <c r="F11" s="1">
        <f t="shared" si="0"/>
        <v>100</v>
      </c>
      <c r="G11" s="1">
        <v>0.11</v>
      </c>
      <c r="H11" s="1">
        <f t="shared" si="1"/>
        <v>11</v>
      </c>
      <c r="I11" s="1">
        <f t="shared" si="2"/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Services &amp; Pricing</vt:lpstr>
      <vt:lpstr>Booking Data</vt:lpstr>
      <vt:lpstr>Calculations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2025-12-20T23:27:38Z</dcterms:modified>
</cp:coreProperties>
</file>